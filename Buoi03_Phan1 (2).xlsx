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xr:revisionPtr revIDLastSave="0" documentId="8_{960173F0-9D9F-45E1-A592-49418DBA2E6F}" xr6:coauthVersionLast="47" xr6:coauthVersionMax="47" xr10:uidLastSave="{00000000-0000-0000-0000-000000000000}"/>
  <bookViews>
    <workbookView xWindow="0" yWindow="0" windowWidth="0" windowHeight="0" firstSheet="6" activeTab="3" xr2:uid="{00000000-000D-0000-FFFF-FFFF00000000}"/>
  </bookViews>
  <sheets>
    <sheet name="Tổng hợp điểm" sheetId="1" r:id="rId1"/>
    <sheet name="Điểm thực hành các buổi" sheetId="2" r:id="rId2"/>
    <sheet name="Điểm bài tập lớn" sheetId="3" r:id="rId3"/>
    <sheet name="Điểm lý thuyết" sheetId="4" r:id="rId4"/>
    <sheet name="Các bảng tham chiếu &amp; Thống kê" sheetId="5" r:id="rId5"/>
    <sheet name="Sinh viên điểm &lt; 7" sheetId="6" r:id="rId6"/>
    <sheet name="Sinh viên điểm &gt;= 7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G20" i="1"/>
  <c r="F20" i="1"/>
  <c r="E20" i="1"/>
  <c r="D20" i="1"/>
  <c r="C20" i="1"/>
  <c r="H19" i="1"/>
  <c r="I19" i="1" s="1"/>
  <c r="G19" i="1"/>
  <c r="J19" i="1" s="1"/>
  <c r="K19" i="1" s="1"/>
  <c r="F19" i="1"/>
  <c r="E19" i="1"/>
  <c r="D19" i="1"/>
  <c r="C19" i="1"/>
  <c r="H18" i="1"/>
  <c r="G18" i="1"/>
  <c r="F18" i="1"/>
  <c r="E18" i="1"/>
  <c r="D18" i="1"/>
  <c r="C18" i="1"/>
  <c r="H17" i="1"/>
  <c r="I17" i="1" s="1"/>
  <c r="G17" i="1"/>
  <c r="J17" i="1" s="1"/>
  <c r="K17" i="1" s="1"/>
  <c r="F17" i="1"/>
  <c r="E17" i="1"/>
  <c r="D17" i="1"/>
  <c r="C17" i="1"/>
  <c r="H16" i="1"/>
  <c r="G16" i="1"/>
  <c r="F16" i="1"/>
  <c r="E16" i="1"/>
  <c r="D16" i="1"/>
  <c r="C16" i="1"/>
  <c r="H15" i="1"/>
  <c r="G15" i="1"/>
  <c r="F15" i="1"/>
  <c r="E15" i="1"/>
  <c r="D15" i="1"/>
  <c r="C15" i="1"/>
  <c r="H14" i="1"/>
  <c r="G14" i="1"/>
  <c r="J14" i="1" s="1"/>
  <c r="K14" i="1" s="1"/>
  <c r="F14" i="1"/>
  <c r="E14" i="1"/>
  <c r="D14" i="1"/>
  <c r="C14" i="1"/>
  <c r="H13" i="1"/>
  <c r="G13" i="1"/>
  <c r="F13" i="1"/>
  <c r="E13" i="1"/>
  <c r="D13" i="1"/>
  <c r="C13" i="1"/>
  <c r="H12" i="1"/>
  <c r="G12" i="1"/>
  <c r="F12" i="1"/>
  <c r="E12" i="1"/>
  <c r="D12" i="1"/>
  <c r="C12" i="1"/>
  <c r="H11" i="1"/>
  <c r="G11" i="1"/>
  <c r="F11" i="1"/>
  <c r="E11" i="1"/>
  <c r="D11" i="1"/>
  <c r="C11" i="1"/>
  <c r="H10" i="1"/>
  <c r="G10" i="1"/>
  <c r="F10" i="1"/>
  <c r="E10" i="1"/>
  <c r="D10" i="1"/>
  <c r="C10" i="1"/>
  <c r="H9" i="1"/>
  <c r="G9" i="1"/>
  <c r="F9" i="1"/>
  <c r="E9" i="1"/>
  <c r="D9" i="1"/>
  <c r="C9" i="1"/>
  <c r="H8" i="1"/>
  <c r="G8" i="1"/>
  <c r="F8" i="1"/>
  <c r="E8" i="1"/>
  <c r="D8" i="1"/>
  <c r="C8" i="1"/>
  <c r="H7" i="1"/>
  <c r="G7" i="1"/>
  <c r="F7" i="1"/>
  <c r="E7" i="1"/>
  <c r="D7" i="1"/>
  <c r="C7" i="1"/>
  <c r="F24" i="5" l="1"/>
  <c r="I7" i="1"/>
  <c r="J7" i="1" s="1"/>
  <c r="I8" i="1"/>
  <c r="J8" i="1" s="1"/>
  <c r="K8" i="1" s="1"/>
  <c r="I9" i="1"/>
  <c r="J9" i="1" s="1"/>
  <c r="K9" i="1" s="1"/>
  <c r="I10" i="1"/>
  <c r="J10" i="1" s="1"/>
  <c r="K10" i="1" s="1"/>
  <c r="I11" i="1"/>
  <c r="J11" i="1" s="1"/>
  <c r="K11" i="1" s="1"/>
  <c r="I12" i="1"/>
  <c r="J12" i="1" s="1"/>
  <c r="K12" i="1" s="1"/>
  <c r="I13" i="1"/>
  <c r="J13" i="1" s="1"/>
  <c r="K13" i="1" s="1"/>
  <c r="I14" i="1"/>
  <c r="I15" i="1"/>
  <c r="J15" i="1" s="1"/>
  <c r="K15" i="1" s="1"/>
  <c r="I16" i="1"/>
  <c r="J16" i="1" s="1"/>
  <c r="K16" i="1" s="1"/>
  <c r="I18" i="1"/>
  <c r="J18" i="1" s="1"/>
  <c r="K18" i="1" s="1"/>
  <c r="I20" i="1"/>
  <c r="J20" i="1" s="1"/>
  <c r="K20" i="1" s="1"/>
  <c r="F25" i="5" l="1"/>
  <c r="K7" i="1"/>
  <c r="F21" i="5" l="1"/>
  <c r="F20" i="5"/>
  <c r="F19" i="5"/>
  <c r="F18" i="5"/>
  <c r="F17" i="5"/>
  <c r="F16" i="5"/>
  <c r="F15" i="5"/>
  <c r="F14" i="5"/>
</calcChain>
</file>

<file path=xl/sharedStrings.xml><?xml version="1.0" encoding="utf-8"?>
<sst xmlns="http://schemas.openxmlformats.org/spreadsheetml/2006/main" count="255" uniqueCount="88">
  <si>
    <t>ĐIỂM THI HK1-2018-2019 (CT428)</t>
  </si>
  <si>
    <t>Ma CB</t>
  </si>
  <si>
    <t>Ho va ten</t>
  </si>
  <si>
    <t>Nguyen Minh Trung</t>
  </si>
  <si>
    <t>Ma MH</t>
  </si>
  <si>
    <t>CT428</t>
  </si>
  <si>
    <t>Ma NH</t>
  </si>
  <si>
    <t>Nam hoc</t>
  </si>
  <si>
    <t>2020-2021</t>
  </si>
  <si>
    <t>Hoc ky</t>
  </si>
  <si>
    <t>STT</t>
  </si>
  <si>
    <t>Mã SV</t>
  </si>
  <si>
    <t>Họ và Tên</t>
  </si>
  <si>
    <t>Điểm TH 1</t>
  </si>
  <si>
    <t>Điểm TH 2</t>
  </si>
  <si>
    <t>Điểm TH 3</t>
  </si>
  <si>
    <t>Điểm BT lớn</t>
  </si>
  <si>
    <t>Điểm LT</t>
  </si>
  <si>
    <t>Điểm tổng</t>
  </si>
  <si>
    <t>Điểm theo thang điểm 10</t>
  </si>
  <si>
    <t>Điểm chữ</t>
  </si>
  <si>
    <t>0B1505719</t>
  </si>
  <si>
    <t>1B1505915</t>
  </si>
  <si>
    <t>0B1509874</t>
  </si>
  <si>
    <t>0B1509929</t>
  </si>
  <si>
    <t>2B1605223</t>
  </si>
  <si>
    <t>0B1605235</t>
  </si>
  <si>
    <t>0B1605249</t>
  </si>
  <si>
    <t>0B1605285</t>
  </si>
  <si>
    <t>0B1605291</t>
  </si>
  <si>
    <t>1B1605344</t>
  </si>
  <si>
    <t>4B1607025</t>
  </si>
  <si>
    <t>2B1609759</t>
  </si>
  <si>
    <t>5B1609765</t>
  </si>
  <si>
    <t>0B1609773</t>
  </si>
  <si>
    <t>Điểm thực hành các buổi</t>
  </si>
  <si>
    <t>Họ và tên</t>
  </si>
  <si>
    <t>B1505719</t>
  </si>
  <si>
    <t>Nguyễn Văn Hiếu</t>
  </si>
  <si>
    <t>B1505915</t>
  </si>
  <si>
    <t>Lý Minh Trí</t>
  </si>
  <si>
    <t>B1509874</t>
  </si>
  <si>
    <t>Nguyễn Kiều Mi</t>
  </si>
  <si>
    <t>B1509929</t>
  </si>
  <si>
    <t>Đặng Duy Linh</t>
  </si>
  <si>
    <t>B1605223</t>
  </si>
  <si>
    <t>Lê Thị Trúc Linh</t>
  </si>
  <si>
    <t>B1605235</t>
  </si>
  <si>
    <t>Phạm Thị Huỳnh</t>
  </si>
  <si>
    <t>B1605249</t>
  </si>
  <si>
    <t>Lê Minh Thông</t>
  </si>
  <si>
    <t>B1605285</t>
  </si>
  <si>
    <t>Huỳnh Thị Diễm</t>
  </si>
  <si>
    <t>B1605291</t>
  </si>
  <si>
    <t>Trần Thanh Nguyên</t>
  </si>
  <si>
    <t>B1605344</t>
  </si>
  <si>
    <t>Nguyễn Thị Đào</t>
  </si>
  <si>
    <t>B1607025</t>
  </si>
  <si>
    <t>Nguyễn Chí Thanh</t>
  </si>
  <si>
    <t>B1609759</t>
  </si>
  <si>
    <t>Nguyễn Hải Anh</t>
  </si>
  <si>
    <t>B1609765</t>
  </si>
  <si>
    <t>Trần Nam Dương</t>
  </si>
  <si>
    <t>B1609773</t>
  </si>
  <si>
    <t>Nguyễn Duy Khanh</t>
  </si>
  <si>
    <t>Điểm bài tập lớn</t>
  </si>
  <si>
    <t>Điểm BL lớn</t>
  </si>
  <si>
    <t>Điểm lý thuyết</t>
  </si>
  <si>
    <t>Nguyễn Phước Hiếu</t>
  </si>
  <si>
    <t>Bảng quy đổi điểm</t>
  </si>
  <si>
    <t>Bảng Điểm Chuyên cần</t>
  </si>
  <si>
    <t>Điểm theo thang điểm 4</t>
  </si>
  <si>
    <t>Số buổi vắng</t>
  </si>
  <si>
    <t>Điểm CT</t>
  </si>
  <si>
    <t>F</t>
  </si>
  <si>
    <t>D</t>
  </si>
  <si>
    <t>D+</t>
  </si>
  <si>
    <t>C</t>
  </si>
  <si>
    <t>C+</t>
  </si>
  <si>
    <t>B</t>
  </si>
  <si>
    <t>B+</t>
  </si>
  <si>
    <t>A</t>
  </si>
  <si>
    <t>Danh sách Sinh viên</t>
  </si>
  <si>
    <t>Bảng thống kê theo điểm chữ</t>
  </si>
  <si>
    <t>Số lượng sinh viên</t>
  </si>
  <si>
    <t>Bảng thống kê SV</t>
  </si>
  <si>
    <t>Số sinh viên điểm BT lớn = 0 hoặc điểm LT = -3</t>
  </si>
  <si>
    <t>Số SV có Điểm theo thang điểm 10 &gt;= 7 và Điểm chữ là B+ hoặc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</si>
</sst>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00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vi-VN"/>
              <a:t>Thống kê tổng số lượng Sinh viên theo điểm chữ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'Các bảng tham chiếu &amp; Thống kê'!F13</c:f>
              <c:strCache>
                <c:ptCount val="1"/>
                <c:pt idx="0">
                  <c:v>Số lượng sinh viên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'Các bảng tham chiếu &amp; Thống kê'!$E$14:$E$21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</c:v>
                </c:pt>
                <c:pt idx="3">
                  <c:v>C+</c:v>
                </c:pt>
                <c:pt idx="4">
                  <c:v>C</c:v>
                </c:pt>
                <c:pt idx="5">
                  <c:v>D+</c:v>
                </c:pt>
                <c:pt idx="6">
                  <c:v>D</c:v>
                </c:pt>
                <c:pt idx="7">
                  <c:v>F</c:v>
                </c:pt>
              </c:strCache>
            </c:strRef>
          </c:cat>
          <c:val>
            <c:numRef>
              <c:f>'Các bảng tham chiếu &amp; Thống kê'!$F$14:$F$21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  <c:pt idx="5">
                  <c:v>1</c:v>
                </c:pt>
                <c:pt idx="6">
                  <c:v>0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7E-4DCD-8B9B-09722761E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11</xdr:row>
      <xdr:rowOff>0</xdr:rowOff>
    </xdr:from>
    <xdr:ext cx="43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workbookViewId="0">
      <pane xSplit="10" ySplit="8" topLeftCell="K9" activePane="bottomRight" state="frozen"/>
      <selection pane="bottomRight" activeCell="L4" sqref="L4"/>
      <selection pane="bottomLeft"/>
      <selection pane="topRight"/>
    </sheetView>
  </sheetViews>
  <sheetFormatPr defaultRowHeight="15"/>
  <cols>
    <col min="1" max="1" width="8" customWidth="1"/>
    <col min="2" max="2" width="14" customWidth="1"/>
    <col min="3" max="3" width="24" customWidth="1"/>
    <col min="4" max="9" width="12" customWidth="1"/>
    <col min="10" max="10" width="20" customWidth="1"/>
    <col min="11" max="11" width="12" customWidth="1"/>
  </cols>
  <sheetData>
    <row r="1" spans="1:11" ht="44.25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34.5" customHeight="1">
      <c r="A2" s="1" t="s">
        <v>1</v>
      </c>
      <c r="B2" s="2">
        <v>1043</v>
      </c>
      <c r="C2" s="1" t="s">
        <v>2</v>
      </c>
      <c r="D2" s="14" t="s">
        <v>3</v>
      </c>
      <c r="E2" s="15"/>
      <c r="F2" s="16"/>
      <c r="G2" s="1"/>
      <c r="H2" s="1"/>
      <c r="I2" s="1"/>
      <c r="J2" s="1"/>
      <c r="K2" s="1"/>
    </row>
    <row r="3" spans="1:11" ht="27" customHeight="1">
      <c r="A3" s="3" t="s">
        <v>4</v>
      </c>
      <c r="B3" s="3" t="s">
        <v>5</v>
      </c>
      <c r="C3" s="3" t="s">
        <v>6</v>
      </c>
      <c r="D3" s="8">
        <v>8</v>
      </c>
      <c r="E3" s="9"/>
      <c r="F3" s="10"/>
      <c r="G3" s="3"/>
      <c r="H3" s="3"/>
      <c r="I3" s="3"/>
      <c r="J3" s="3"/>
      <c r="K3" s="3"/>
    </row>
    <row r="4" spans="1:11" ht="45.75" customHeight="1">
      <c r="A4" s="3" t="s">
        <v>7</v>
      </c>
      <c r="B4" s="3" t="s">
        <v>8</v>
      </c>
      <c r="C4" s="3" t="s">
        <v>9</v>
      </c>
      <c r="D4" s="11">
        <v>1</v>
      </c>
      <c r="E4" s="12"/>
      <c r="F4" s="13"/>
      <c r="G4" s="3"/>
      <c r="H4" s="3"/>
      <c r="I4" s="3"/>
      <c r="J4" s="3"/>
      <c r="K4" s="3"/>
    </row>
    <row r="5" spans="1:1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30.75">
      <c r="A6" s="5" t="s">
        <v>10</v>
      </c>
      <c r="B6" s="5" t="s">
        <v>11</v>
      </c>
      <c r="C6" s="5" t="s">
        <v>12</v>
      </c>
      <c r="D6" s="5" t="s">
        <v>13</v>
      </c>
      <c r="E6" s="5" t="s">
        <v>14</v>
      </c>
      <c r="F6" s="5" t="s">
        <v>15</v>
      </c>
      <c r="G6" s="5" t="s">
        <v>16</v>
      </c>
      <c r="H6" s="5" t="s">
        <v>17</v>
      </c>
      <c r="I6" s="5" t="s">
        <v>18</v>
      </c>
      <c r="J6" s="5" t="s">
        <v>19</v>
      </c>
      <c r="K6" s="5" t="s">
        <v>20</v>
      </c>
    </row>
    <row r="7" spans="1:11">
      <c r="A7" s="3">
        <v>1</v>
      </c>
      <c r="B7" s="3" t="s">
        <v>21</v>
      </c>
      <c r="C7" s="3" t="str">
        <f>VLOOKUP(RIGHT(B7,8),'Các bảng tham chiếu &amp; Thống kê'!$B$14:$C$27,2,FALSE)</f>
        <v>Nguyễn Văn Hiếu</v>
      </c>
      <c r="D7" s="3">
        <f>VLOOKUP(RIGHT(B7,8),'Điểm thực hành các buổi'!$B$3:$F$16,3,FALSE)</f>
        <v>0.45</v>
      </c>
      <c r="E7" s="3">
        <f>VLOOKUP(RIGHT(B7,8),'Điểm thực hành các buổi'!$B$3:$F$16,4,FALSE)</f>
        <v>0.25</v>
      </c>
      <c r="F7" s="3">
        <f>VLOOKUP(RIGHT(B7,8),'Điểm thực hành các buổi'!$B$3:$F$16,5,FALSE)</f>
        <v>0.3</v>
      </c>
      <c r="G7" s="3">
        <f>VLOOKUP(RIGHT(B7,8),'Điểm bài tập lớn'!$B$3:$D$16,3,FALSE)</f>
        <v>0.5</v>
      </c>
      <c r="H7" s="3">
        <f>VLOOKUP(RIGHT(B7,8),'Điểm lý thuyết'!$B$3:$D$16,3,FALSE)</f>
        <v>4.2</v>
      </c>
      <c r="I7" s="3">
        <f>ROUND(IF(H7=-3,0,D7+E7+F7+G7+0.6*H7),1)</f>
        <v>4</v>
      </c>
      <c r="J7" s="3">
        <f>ROUND(IF(OR(G7=0,VALUE(LEFT(B7,1))&gt;2),0,I7+VLOOKUP(VALUE(LEFT(B7,1)),'Các bảng tham chiếu &amp; Thống kê'!$E$3:$F$5,2,FALSE)),1)</f>
        <v>5</v>
      </c>
      <c r="K7" s="3" t="str">
        <f>VLOOKUP(J7,'Các bảng tham chiếu &amp; Thống kê'!$A$3:$B$10,2,TRUE)</f>
        <v>D+</v>
      </c>
    </row>
    <row r="8" spans="1:11">
      <c r="A8" s="3">
        <v>2</v>
      </c>
      <c r="B8" s="3" t="s">
        <v>22</v>
      </c>
      <c r="C8" s="3" t="str">
        <f>VLOOKUP(RIGHT(B8,8),'Các bảng tham chiếu &amp; Thống kê'!$B$14:$C$27,2,FALSE)</f>
        <v>Lý Minh Trí</v>
      </c>
      <c r="D8" s="3">
        <f>VLOOKUP(RIGHT(B8,8),'Điểm thực hành các buổi'!$B$3:$F$16,3,FALSE)</f>
        <v>0.5</v>
      </c>
      <c r="E8" s="3">
        <f>VLOOKUP(RIGHT(B8,8),'Điểm thực hành các buổi'!$B$3:$F$16,4,FALSE)</f>
        <v>0.35</v>
      </c>
      <c r="F8" s="3">
        <f>VLOOKUP(RIGHT(B8,8),'Điểm thực hành các buổi'!$B$3:$F$16,5,FALSE)</f>
        <v>0.4</v>
      </c>
      <c r="G8" s="3">
        <f>VLOOKUP(RIGHT(B8,8),'Điểm bài tập lớn'!$B$3:$D$16,3,FALSE)</f>
        <v>1</v>
      </c>
      <c r="H8" s="3">
        <f>VLOOKUP(RIGHT(B8,8),'Điểm lý thuyết'!$B$3:$D$16,3,FALSE)</f>
        <v>5.8</v>
      </c>
      <c r="I8" s="3">
        <f>ROUND(IF(H8=-3,0,D8+E8+F8+G8+0.6*H8),1)</f>
        <v>5.7</v>
      </c>
      <c r="J8" s="3">
        <f>ROUND(IF(OR(G8=0,VALUE(LEFT(B8,1))&gt;2),0,I8+VLOOKUP(VALUE(LEFT(B8,1)),'Các bảng tham chiếu &amp; Thống kê'!$E$3:$F$5,2,FALSE)),1)</f>
        <v>6.2</v>
      </c>
      <c r="K8" s="3" t="str">
        <f>VLOOKUP(J8,'Các bảng tham chiếu &amp; Thống kê'!$A$3:$B$10,2,TRUE)</f>
        <v>C</v>
      </c>
    </row>
    <row r="9" spans="1:11">
      <c r="A9" s="3">
        <v>3</v>
      </c>
      <c r="B9" s="3" t="s">
        <v>23</v>
      </c>
      <c r="C9" s="3" t="str">
        <f>VLOOKUP(RIGHT(B9,8),'Các bảng tham chiếu &amp; Thống kê'!$B$14:$C$27,2,FALSE)</f>
        <v>Nguyễn Kiều Mi</v>
      </c>
      <c r="D9" s="3">
        <f>VLOOKUP(RIGHT(B9,8),'Điểm thực hành các buổi'!$B$3:$F$16,3,FALSE)</f>
        <v>0.25</v>
      </c>
      <c r="E9" s="3">
        <f>VLOOKUP(RIGHT(B9,8),'Điểm thực hành các buổi'!$B$3:$F$16,4,FALSE)</f>
        <v>0.25</v>
      </c>
      <c r="F9" s="3">
        <f>VLOOKUP(RIGHT(B9,8),'Điểm thực hành các buổi'!$B$3:$F$16,5,FALSE)</f>
        <v>0.3</v>
      </c>
      <c r="G9" s="3">
        <f>VLOOKUP(RIGHT(B9,8),'Điểm bài tập lớn'!$B$3:$D$16,3,FALSE)</f>
        <v>0.5</v>
      </c>
      <c r="H9" s="3">
        <f>VLOOKUP(RIGHT(B9,8),'Điểm lý thuyết'!$B$3:$D$16,3,FALSE)</f>
        <v>5.8</v>
      </c>
      <c r="I9" s="3">
        <f>ROUND(IF(H9=-3,0,D9+E9+F9+G9+0.6*H9),1)</f>
        <v>4.8</v>
      </c>
      <c r="J9" s="3">
        <f>ROUND(IF(OR(G9=0,VALUE(LEFT(B9,1))&gt;2),0,I9+VLOOKUP(VALUE(LEFT(B9,1)),'Các bảng tham chiếu &amp; Thống kê'!$E$3:$F$5,2,FALSE)),1)</f>
        <v>5.8</v>
      </c>
      <c r="K9" s="3" t="str">
        <f>VLOOKUP(J9,'Các bảng tham chiếu &amp; Thống kê'!$A$3:$B$10,2,TRUE)</f>
        <v>C</v>
      </c>
    </row>
    <row r="10" spans="1:11">
      <c r="A10" s="3">
        <v>4</v>
      </c>
      <c r="B10" s="3" t="s">
        <v>24</v>
      </c>
      <c r="C10" s="3" t="str">
        <f>VLOOKUP(RIGHT(B10,8),'Các bảng tham chiếu &amp; Thống kê'!$B$14:$C$27,2,FALSE)</f>
        <v>Đặng Duy Linh</v>
      </c>
      <c r="D10" s="3">
        <f>VLOOKUP(RIGHT(B10,8),'Điểm thực hành các buổi'!$B$3:$F$16,3,FALSE)</f>
        <v>0.4</v>
      </c>
      <c r="E10" s="3">
        <f>VLOOKUP(RIGHT(B10,8),'Điểm thực hành các buổi'!$B$3:$F$16,4,FALSE)</f>
        <v>0.25</v>
      </c>
      <c r="F10" s="3">
        <f>VLOOKUP(RIGHT(B10,8),'Điểm thực hành các buổi'!$B$3:$F$16,5,FALSE)</f>
        <v>0.35</v>
      </c>
      <c r="G10" s="3">
        <f>VLOOKUP(RIGHT(B10,8),'Điểm bài tập lớn'!$B$3:$D$16,3,FALSE)</f>
        <v>1</v>
      </c>
      <c r="H10" s="3">
        <f>VLOOKUP(RIGHT(B10,8),'Điểm lý thuyết'!$B$3:$D$16,3,FALSE)</f>
        <v>4.5</v>
      </c>
      <c r="I10" s="3">
        <f>ROUND(IF(H10=-3,0,D10+E10+F10+G10+0.6*H10),1)</f>
        <v>4.7</v>
      </c>
      <c r="J10" s="3">
        <f>ROUND(IF(OR(G10=0,VALUE(LEFT(B10,1))&gt;2),0,I10+VLOOKUP(VALUE(LEFT(B10,1)),'Các bảng tham chiếu &amp; Thống kê'!$E$3:$F$5,2,FALSE)),1)</f>
        <v>5.7</v>
      </c>
      <c r="K10" s="3" t="str">
        <f>VLOOKUP(J10,'Các bảng tham chiếu &amp; Thống kê'!$A$3:$B$10,2,TRUE)</f>
        <v>C</v>
      </c>
    </row>
    <row r="11" spans="1:11">
      <c r="A11" s="3">
        <v>5</v>
      </c>
      <c r="B11" s="3" t="s">
        <v>25</v>
      </c>
      <c r="C11" s="3" t="str">
        <f>VLOOKUP(RIGHT(B11,8),'Các bảng tham chiếu &amp; Thống kê'!$B$14:$C$27,2,FALSE)</f>
        <v>Lê Thị Trúc Linh</v>
      </c>
      <c r="D11" s="3">
        <f>VLOOKUP(RIGHT(B11,8),'Điểm thực hành các buổi'!$B$3:$F$16,3,FALSE)</f>
        <v>0.45</v>
      </c>
      <c r="E11" s="3">
        <f>VLOOKUP(RIGHT(B11,8),'Điểm thực hành các buổi'!$B$3:$F$16,4,FALSE)</f>
        <v>0.4</v>
      </c>
      <c r="F11" s="3">
        <f>VLOOKUP(RIGHT(B11,8),'Điểm thực hành các buổi'!$B$3:$F$16,5,FALSE)</f>
        <v>0.35</v>
      </c>
      <c r="G11" s="3">
        <f>VLOOKUP(RIGHT(B11,8),'Điểm bài tập lớn'!$B$3:$D$16,3,FALSE)</f>
        <v>0.75</v>
      </c>
      <c r="H11" s="3">
        <f>VLOOKUP(RIGHT(B11,8),'Điểm lý thuyết'!$B$3:$D$16,3,FALSE)</f>
        <v>5.5</v>
      </c>
      <c r="I11" s="3">
        <f>ROUND(IF(H11=-3,0,D11+E11+F11+G11+0.6*H11),1)</f>
        <v>5.3</v>
      </c>
      <c r="J11" s="3">
        <f>ROUND(IF(OR(G11=0,VALUE(LEFT(B11,1))&gt;2),0,I11+VLOOKUP(VALUE(LEFT(B11,1)),'Các bảng tham chiếu &amp; Thống kê'!$E$3:$F$5,2,FALSE)),1)</f>
        <v>5.6</v>
      </c>
      <c r="K11" s="3" t="str">
        <f>VLOOKUP(J11,'Các bảng tham chiếu &amp; Thống kê'!$A$3:$B$10,2,TRUE)</f>
        <v>C</v>
      </c>
    </row>
    <row r="12" spans="1:11">
      <c r="A12" s="3">
        <v>6</v>
      </c>
      <c r="B12" s="3" t="s">
        <v>26</v>
      </c>
      <c r="C12" s="3" t="str">
        <f>VLOOKUP(RIGHT(B12,8),'Các bảng tham chiếu &amp; Thống kê'!$B$14:$C$27,2,FALSE)</f>
        <v>Phạm Thị Huỳnh</v>
      </c>
      <c r="D12" s="3">
        <f>VLOOKUP(RIGHT(B12,8),'Điểm thực hành các buổi'!$B$3:$F$16,3,FALSE)</f>
        <v>0.4</v>
      </c>
      <c r="E12" s="3">
        <f>VLOOKUP(RIGHT(B12,8),'Điểm thực hành các buổi'!$B$3:$F$16,4,FALSE)</f>
        <v>0.45</v>
      </c>
      <c r="F12" s="3">
        <f>VLOOKUP(RIGHT(B12,8),'Điểm thực hành các buổi'!$B$3:$F$16,5,FALSE)</f>
        <v>0.5</v>
      </c>
      <c r="G12" s="3">
        <f>VLOOKUP(RIGHT(B12,8),'Điểm bài tập lớn'!$B$3:$D$16,3,FALSE)</f>
        <v>1.2</v>
      </c>
      <c r="H12" s="3">
        <f>VLOOKUP(RIGHT(B12,8),'Điểm lý thuyết'!$B$3:$D$16,3,FALSE)</f>
        <v>7.5</v>
      </c>
      <c r="I12" s="3">
        <f>ROUND(IF(H12=-3,0,D12+E12+F12+G12+0.6*H12),1)</f>
        <v>7.1</v>
      </c>
      <c r="J12" s="3">
        <f>ROUND(IF(OR(G12=0,VALUE(LEFT(B12,1))&gt;2),0,I12+VLOOKUP(VALUE(LEFT(B12,1)),'Các bảng tham chiếu &amp; Thống kê'!$E$3:$F$5,2,FALSE)),1)</f>
        <v>8.1</v>
      </c>
      <c r="K12" s="3" t="str">
        <f>VLOOKUP(J12,'Các bảng tham chiếu &amp; Thống kê'!$A$3:$B$10,2,TRUE)</f>
        <v>B+</v>
      </c>
    </row>
    <row r="13" spans="1:11">
      <c r="A13" s="3">
        <v>7</v>
      </c>
      <c r="B13" s="3" t="s">
        <v>27</v>
      </c>
      <c r="C13" s="3" t="str">
        <f>VLOOKUP(RIGHT(B13,8),'Các bảng tham chiếu &amp; Thống kê'!$B$14:$C$27,2,FALSE)</f>
        <v>Lê Minh Thông</v>
      </c>
      <c r="D13" s="3">
        <f>VLOOKUP(RIGHT(B13,8),'Điểm thực hành các buổi'!$B$3:$F$16,3,FALSE)</f>
        <v>0.4</v>
      </c>
      <c r="E13" s="3">
        <f>VLOOKUP(RIGHT(B13,8),'Điểm thực hành các buổi'!$B$3:$F$16,4,FALSE)</f>
        <v>0.4</v>
      </c>
      <c r="F13" s="3">
        <f>VLOOKUP(RIGHT(B13,8),'Điểm thực hành các buổi'!$B$3:$F$16,5,FALSE)</f>
        <v>0.4</v>
      </c>
      <c r="G13" s="3">
        <f>VLOOKUP(RIGHT(B13,8),'Điểm bài tập lớn'!$B$3:$D$16,3,FALSE)</f>
        <v>1</v>
      </c>
      <c r="H13" s="3">
        <f>VLOOKUP(RIGHT(B13,8),'Điểm lý thuyết'!$B$3:$D$16,3,FALSE)</f>
        <v>5.3</v>
      </c>
      <c r="I13" s="3">
        <f>ROUND(IF(H13=-3,0,D13+E13+F13+G13+0.6*H13),1)</f>
        <v>5.4</v>
      </c>
      <c r="J13" s="3">
        <f>ROUND(IF(OR(G13=0,VALUE(LEFT(B13,1))&gt;2),0,I13+VLOOKUP(VALUE(LEFT(B13,1)),'Các bảng tham chiếu &amp; Thống kê'!$E$3:$F$5,2,FALSE)),1)</f>
        <v>6.4</v>
      </c>
      <c r="K13" s="3" t="str">
        <f>VLOOKUP(J13,'Các bảng tham chiếu &amp; Thống kê'!$A$3:$B$10,2,TRUE)</f>
        <v>C</v>
      </c>
    </row>
    <row r="14" spans="1:11">
      <c r="A14" s="3">
        <v>8</v>
      </c>
      <c r="B14" s="3" t="s">
        <v>28</v>
      </c>
      <c r="C14" s="3" t="str">
        <f>VLOOKUP(RIGHT(B14,8),'Các bảng tham chiếu &amp; Thống kê'!$B$14:$C$27,2,FALSE)</f>
        <v>Huỳnh Thị Diễm</v>
      </c>
      <c r="D14" s="3">
        <f>VLOOKUP(RIGHT(B14,8),'Điểm thực hành các buổi'!$B$3:$F$16,3,FALSE)</f>
        <v>0.45</v>
      </c>
      <c r="E14" s="3">
        <f>VLOOKUP(RIGHT(B14,8),'Điểm thực hành các buổi'!$B$3:$F$16,4,FALSE)</f>
        <v>0.4</v>
      </c>
      <c r="F14" s="3">
        <f>VLOOKUP(RIGHT(B14,8),'Điểm thực hành các buổi'!$B$3:$F$16,5,FALSE)</f>
        <v>0.45</v>
      </c>
      <c r="G14" s="3">
        <f>VLOOKUP(RIGHT(B14,8),'Điểm bài tập lớn'!$B$3:$D$16,3,FALSE)</f>
        <v>0</v>
      </c>
      <c r="H14" s="3">
        <f>VLOOKUP(RIGHT(B14,8),'Điểm lý thuyết'!$B$3:$D$16,3,FALSE)</f>
        <v>6.8</v>
      </c>
      <c r="I14" s="3">
        <f>ROUND(IF(H14=-3,0,D14+E14+F14+G14+0.6*H14),1)</f>
        <v>5.4</v>
      </c>
      <c r="J14" s="3">
        <f>ROUND(IF(OR(G14=0,VALUE(LEFT(B14,1))&gt;2),0,I14+VLOOKUP(VALUE(LEFT(B14,1)),'Các bảng tham chiếu &amp; Thống kê'!$E$3:$F$5,2,FALSE)),1)</f>
        <v>0</v>
      </c>
      <c r="K14" s="3" t="str">
        <f>VLOOKUP(J14,'Các bảng tham chiếu &amp; Thống kê'!$A$3:$B$10,2,TRUE)</f>
        <v>F</v>
      </c>
    </row>
    <row r="15" spans="1:11">
      <c r="A15" s="3">
        <v>9</v>
      </c>
      <c r="B15" s="3" t="s">
        <v>29</v>
      </c>
      <c r="C15" s="3" t="str">
        <f>VLOOKUP(RIGHT(B15,8),'Các bảng tham chiếu &amp; Thống kê'!$B$14:$C$27,2,FALSE)</f>
        <v>Trần Thanh Nguyên</v>
      </c>
      <c r="D15" s="3">
        <f>VLOOKUP(RIGHT(B15,8),'Điểm thực hành các buổi'!$B$3:$F$16,3,FALSE)</f>
        <v>0.45</v>
      </c>
      <c r="E15" s="3">
        <f>VLOOKUP(RIGHT(B15,8),'Điểm thực hành các buổi'!$B$3:$F$16,4,FALSE)</f>
        <v>0.4</v>
      </c>
      <c r="F15" s="3">
        <f>VLOOKUP(RIGHT(B15,8),'Điểm thực hành các buổi'!$B$3:$F$16,5,FALSE)</f>
        <v>0.4</v>
      </c>
      <c r="G15" s="3">
        <f>VLOOKUP(RIGHT(B15,8),'Điểm bài tập lớn'!$B$3:$D$16,3,FALSE)</f>
        <v>0.75</v>
      </c>
      <c r="H15" s="3">
        <f>VLOOKUP(RIGHT(B15,8),'Điểm lý thuyết'!$B$3:$D$16,3,FALSE)</f>
        <v>6.3</v>
      </c>
      <c r="I15" s="3">
        <f>ROUND(IF(H15=-3,0,D15+E15+F15+G15+0.6*H15),1)</f>
        <v>5.8</v>
      </c>
      <c r="J15" s="3">
        <f>ROUND(IF(OR(G15=0,VALUE(LEFT(B15,1))&gt;2),0,I15+VLOOKUP(VALUE(LEFT(B15,1)),'Các bảng tham chiếu &amp; Thống kê'!$E$3:$F$5,2,FALSE)),1)</f>
        <v>6.8</v>
      </c>
      <c r="K15" s="3" t="str">
        <f>VLOOKUP(J15,'Các bảng tham chiếu &amp; Thống kê'!$A$3:$B$10,2,TRUE)</f>
        <v>C+</v>
      </c>
    </row>
    <row r="16" spans="1:11">
      <c r="A16" s="3">
        <v>10</v>
      </c>
      <c r="B16" s="3" t="s">
        <v>30</v>
      </c>
      <c r="C16" s="3" t="str">
        <f>VLOOKUP(RIGHT(B16,8),'Các bảng tham chiếu &amp; Thống kê'!$B$14:$C$27,2,FALSE)</f>
        <v>Nguyễn Thị Đào</v>
      </c>
      <c r="D16" s="3">
        <f>VLOOKUP(RIGHT(B16,8),'Điểm thực hành các buổi'!$B$3:$F$16,3,FALSE)</f>
        <v>0.3</v>
      </c>
      <c r="E16" s="3">
        <f>VLOOKUP(RIGHT(B16,8),'Điểm thực hành các buổi'!$B$3:$F$16,4,FALSE)</f>
        <v>0.5</v>
      </c>
      <c r="F16" s="3">
        <f>VLOOKUP(RIGHT(B16,8),'Điểm thực hành các buổi'!$B$3:$F$16,5,FALSE)</f>
        <v>0.45</v>
      </c>
      <c r="G16" s="3">
        <f>VLOOKUP(RIGHT(B16,8),'Điểm bài tập lớn'!$B$3:$D$16,3,FALSE)</f>
        <v>0.3</v>
      </c>
      <c r="H16" s="3">
        <f>VLOOKUP(RIGHT(B16,8),'Điểm lý thuyết'!$B$3:$D$16,3,FALSE)</f>
        <v>8.3000000000000007</v>
      </c>
      <c r="I16" s="3">
        <f>ROUND(IF(H16=-3,0,D16+E16+F16+G16+0.6*H16),1)</f>
        <v>6.5</v>
      </c>
      <c r="J16" s="3">
        <f>ROUND(IF(OR(G16=0,VALUE(LEFT(B16,1))&gt;2),0,I16+VLOOKUP(VALUE(LEFT(B16,1)),'Các bảng tham chiếu &amp; Thống kê'!$E$3:$F$5,2,FALSE)),1)</f>
        <v>7</v>
      </c>
      <c r="K16" s="3" t="str">
        <f>VLOOKUP(J16,'Các bảng tham chiếu &amp; Thống kê'!$A$3:$B$10,2,TRUE)</f>
        <v>B</v>
      </c>
    </row>
    <row r="17" spans="1:11">
      <c r="A17" s="3">
        <v>11</v>
      </c>
      <c r="B17" s="3" t="s">
        <v>31</v>
      </c>
      <c r="C17" s="3" t="str">
        <f>VLOOKUP(RIGHT(B17,8),'Các bảng tham chiếu &amp; Thống kê'!$B$14:$C$27,2,FALSE)</f>
        <v>Nguyễn Chí Thanh</v>
      </c>
      <c r="D17" s="3">
        <f>VLOOKUP(RIGHT(B17,8),'Điểm thực hành các buổi'!$B$3:$F$16,3,FALSE)</f>
        <v>0.4</v>
      </c>
      <c r="E17" s="3">
        <f>VLOOKUP(RIGHT(B17,8),'Điểm thực hành các buổi'!$B$3:$F$16,4,FALSE)</f>
        <v>0.45</v>
      </c>
      <c r="F17" s="3">
        <f>VLOOKUP(RIGHT(B17,8),'Điểm thực hành các buổi'!$B$3:$F$16,5,FALSE)</f>
        <v>0.4</v>
      </c>
      <c r="G17" s="3">
        <f>VLOOKUP(RIGHT(B17,8),'Điểm bài tập lớn'!$B$3:$D$16,3,FALSE)</f>
        <v>0.3</v>
      </c>
      <c r="H17" s="3">
        <f>VLOOKUP(RIGHT(B17,8),'Điểm lý thuyết'!$B$3:$D$16,3,FALSE)</f>
        <v>-3</v>
      </c>
      <c r="I17" s="3">
        <f>ROUND(IF(H17=-3,0,D17+E17+F17+G17+0.6*H17),1)</f>
        <v>0</v>
      </c>
      <c r="J17" s="3">
        <f>ROUND(IF(OR(G17=0,VALUE(LEFT(B17,1))&gt;2),0,I17+VLOOKUP(VALUE(LEFT(B17,1)),'Các bảng tham chiếu &amp; Thống kê'!$E$3:$F$5,2,FALSE)),1)</f>
        <v>0</v>
      </c>
      <c r="K17" s="3" t="str">
        <f>VLOOKUP(J17,'Các bảng tham chiếu &amp; Thống kê'!$A$3:$B$10,2,TRUE)</f>
        <v>F</v>
      </c>
    </row>
    <row r="18" spans="1:11">
      <c r="A18" s="3">
        <v>12</v>
      </c>
      <c r="B18" s="3" t="s">
        <v>32</v>
      </c>
      <c r="C18" s="3" t="str">
        <f>VLOOKUP(RIGHT(B18,8),'Các bảng tham chiếu &amp; Thống kê'!$B$14:$C$27,2,FALSE)</f>
        <v>Nguyễn Hải Anh</v>
      </c>
      <c r="D18" s="3">
        <f>VLOOKUP(RIGHT(B18,8),'Điểm thực hành các buổi'!$B$3:$F$16,3,FALSE)</f>
        <v>0.5</v>
      </c>
      <c r="E18" s="3">
        <f>VLOOKUP(RIGHT(B18,8),'Điểm thực hành các buổi'!$B$3:$F$16,4,FALSE)</f>
        <v>0.5</v>
      </c>
      <c r="F18" s="3">
        <f>VLOOKUP(RIGHT(B18,8),'Điểm thực hành các buổi'!$B$3:$F$16,5,FALSE)</f>
        <v>0.45</v>
      </c>
      <c r="G18" s="3">
        <f>VLOOKUP(RIGHT(B18,8),'Điểm bài tập lớn'!$B$3:$D$16,3,FALSE)</f>
        <v>1.5</v>
      </c>
      <c r="H18" s="3">
        <f>VLOOKUP(RIGHT(B18,8),'Điểm lý thuyết'!$B$3:$D$16,3,FALSE)</f>
        <v>7</v>
      </c>
      <c r="I18" s="3">
        <f>ROUND(IF(H18=-3,0,D18+E18+F18+G18+0.6*H18),1)</f>
        <v>7.2</v>
      </c>
      <c r="J18" s="3">
        <f>ROUND(IF(OR(G18=0,VALUE(LEFT(B18,1))&gt;2),0,I18+VLOOKUP(VALUE(LEFT(B18,1)),'Các bảng tham chiếu &amp; Thống kê'!$E$3:$F$5,2,FALSE)),1)</f>
        <v>7.5</v>
      </c>
      <c r="K18" s="3" t="str">
        <f>VLOOKUP(J18,'Các bảng tham chiếu &amp; Thống kê'!$A$3:$B$10,2,TRUE)</f>
        <v>B</v>
      </c>
    </row>
    <row r="19" spans="1:11">
      <c r="A19" s="3">
        <v>13</v>
      </c>
      <c r="B19" s="3" t="s">
        <v>33</v>
      </c>
      <c r="C19" s="3" t="str">
        <f>VLOOKUP(RIGHT(B19,8),'Các bảng tham chiếu &amp; Thống kê'!$B$14:$C$27,2,FALSE)</f>
        <v>Trần Nam Dương</v>
      </c>
      <c r="D19" s="3">
        <f>VLOOKUP(RIGHT(B19,8),'Điểm thực hành các buổi'!$B$3:$F$16,3,FALSE)</f>
        <v>0.4</v>
      </c>
      <c r="E19" s="3">
        <f>VLOOKUP(RIGHT(B19,8),'Điểm thực hành các buổi'!$B$3:$F$16,4,FALSE)</f>
        <v>0.4</v>
      </c>
      <c r="F19" s="3">
        <f>VLOOKUP(RIGHT(B19,8),'Điểm thực hành các buổi'!$B$3:$F$16,5,FALSE)</f>
        <v>0.35</v>
      </c>
      <c r="G19" s="3">
        <f>VLOOKUP(RIGHT(B19,8),'Điểm bài tập lớn'!$B$3:$D$16,3,FALSE)</f>
        <v>1.35</v>
      </c>
      <c r="H19" s="3">
        <f>VLOOKUP(RIGHT(B19,8),'Điểm lý thuyết'!$B$3:$D$16,3,FALSE)</f>
        <v>-3</v>
      </c>
      <c r="I19" s="3">
        <f>ROUND(IF(H19=-3,0,D19+E19+F19+G19+0.6*H19),1)</f>
        <v>0</v>
      </c>
      <c r="J19" s="3">
        <f>ROUND(IF(OR(G19=0,VALUE(LEFT(B19,1))&gt;2),0,I19+VLOOKUP(VALUE(LEFT(B19,1)),'Các bảng tham chiếu &amp; Thống kê'!$E$3:$F$5,2,FALSE)),1)</f>
        <v>0</v>
      </c>
      <c r="K19" s="3" t="str">
        <f>VLOOKUP(J19,'Các bảng tham chiếu &amp; Thống kê'!$A$3:$B$10,2,TRUE)</f>
        <v>F</v>
      </c>
    </row>
    <row r="20" spans="1:11">
      <c r="A20" s="3">
        <v>14</v>
      </c>
      <c r="B20" s="3" t="s">
        <v>34</v>
      </c>
      <c r="C20" s="3" t="str">
        <f>VLOOKUP(RIGHT(B20,8),'Các bảng tham chiếu &amp; Thống kê'!$B$14:$C$27,2,FALSE)</f>
        <v>Nguyễn Duy Khanh</v>
      </c>
      <c r="D20" s="3">
        <f>VLOOKUP(RIGHT(B20,8),'Điểm thực hành các buổi'!$B$3:$F$16,3,FALSE)</f>
        <v>0.35</v>
      </c>
      <c r="E20" s="3">
        <f>VLOOKUP(RIGHT(B20,8),'Điểm thực hành các buổi'!$B$3:$F$16,4,FALSE)</f>
        <v>0.4</v>
      </c>
      <c r="F20" s="3">
        <f>VLOOKUP(RIGHT(B20,8),'Điểm thực hành các buổi'!$B$3:$F$16,5,FALSE)</f>
        <v>0</v>
      </c>
      <c r="G20" s="3">
        <f>VLOOKUP(RIGHT(B20,8),'Điểm bài tập lớn'!$B$3:$D$16,3,FALSE)</f>
        <v>0.85</v>
      </c>
      <c r="H20" s="3">
        <f>VLOOKUP(RIGHT(B20,8),'Điểm lý thuyết'!$B$3:$D$16,3,FALSE)</f>
        <v>6.5</v>
      </c>
      <c r="I20" s="3">
        <f>ROUND(IF(H20=-3,0,D20+E20+F20+G20+0.6*H20),1)</f>
        <v>5.5</v>
      </c>
      <c r="J20" s="3">
        <f>ROUND(IF(OR(G20=0,VALUE(LEFT(B20,1))&gt;2),0,I20+VLOOKUP(VALUE(LEFT(B20,1)),'Các bảng tham chiếu &amp; Thống kê'!$E$3:$F$5,2,FALSE)),1)</f>
        <v>6.5</v>
      </c>
      <c r="K20" s="3" t="str">
        <f>VLOOKUP(J20,'Các bảng tham chiếu &amp; Thống kê'!$A$3:$B$10,2,TRUE)</f>
        <v>C+</v>
      </c>
    </row>
  </sheetData>
  <mergeCells count="4">
    <mergeCell ref="A1:K1"/>
    <mergeCell ref="D3:F3"/>
    <mergeCell ref="D4:F4"/>
    <mergeCell ref="D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/>
  </sheetViews>
  <sheetFormatPr defaultRowHeight="15"/>
  <cols>
    <col min="1" max="1" width="8" customWidth="1"/>
    <col min="2" max="2" width="14" customWidth="1"/>
    <col min="3" max="3" width="24" customWidth="1"/>
    <col min="4" max="6" width="12" customWidth="1"/>
  </cols>
  <sheetData>
    <row r="1" spans="1:6">
      <c r="A1" s="7" t="s">
        <v>35</v>
      </c>
      <c r="B1" s="7"/>
      <c r="C1" s="7"/>
      <c r="D1" s="7"/>
      <c r="E1" s="7"/>
      <c r="F1" s="7"/>
    </row>
    <row r="2" spans="1:6">
      <c r="A2" s="5" t="s">
        <v>10</v>
      </c>
      <c r="B2" s="5" t="s">
        <v>11</v>
      </c>
      <c r="C2" s="5" t="s">
        <v>36</v>
      </c>
      <c r="D2" s="5" t="s">
        <v>13</v>
      </c>
      <c r="E2" s="5" t="s">
        <v>14</v>
      </c>
      <c r="F2" s="5" t="s">
        <v>15</v>
      </c>
    </row>
    <row r="3" spans="1:6">
      <c r="A3" s="3">
        <v>1</v>
      </c>
      <c r="B3" s="3" t="s">
        <v>37</v>
      </c>
      <c r="C3" s="3" t="s">
        <v>38</v>
      </c>
      <c r="D3" s="4">
        <v>0.45</v>
      </c>
      <c r="E3" s="4">
        <v>0.25</v>
      </c>
      <c r="F3" s="4">
        <v>0.3</v>
      </c>
    </row>
    <row r="4" spans="1:6">
      <c r="A4" s="3">
        <v>2</v>
      </c>
      <c r="B4" s="3" t="s">
        <v>39</v>
      </c>
      <c r="C4" s="3" t="s">
        <v>40</v>
      </c>
      <c r="D4" s="4">
        <v>0.5</v>
      </c>
      <c r="E4" s="4">
        <v>0.35</v>
      </c>
      <c r="F4" s="4">
        <v>0.4</v>
      </c>
    </row>
    <row r="5" spans="1:6">
      <c r="A5" s="3">
        <v>3</v>
      </c>
      <c r="B5" s="3" t="s">
        <v>41</v>
      </c>
      <c r="C5" s="3" t="s">
        <v>42</v>
      </c>
      <c r="D5" s="4">
        <v>0.25</v>
      </c>
      <c r="E5" s="4">
        <v>0.25</v>
      </c>
      <c r="F5" s="4">
        <v>0.3</v>
      </c>
    </row>
    <row r="6" spans="1:6">
      <c r="A6" s="3">
        <v>4</v>
      </c>
      <c r="B6" s="3" t="s">
        <v>43</v>
      </c>
      <c r="C6" s="3" t="s">
        <v>44</v>
      </c>
      <c r="D6" s="4">
        <v>0.4</v>
      </c>
      <c r="E6" s="4">
        <v>0.25</v>
      </c>
      <c r="F6" s="4">
        <v>0.35</v>
      </c>
    </row>
    <row r="7" spans="1:6">
      <c r="A7" s="3">
        <v>5</v>
      </c>
      <c r="B7" s="3" t="s">
        <v>45</v>
      </c>
      <c r="C7" s="3" t="s">
        <v>46</v>
      </c>
      <c r="D7" s="4">
        <v>0.45</v>
      </c>
      <c r="E7" s="4">
        <v>0.4</v>
      </c>
      <c r="F7" s="4">
        <v>0.35</v>
      </c>
    </row>
    <row r="8" spans="1:6">
      <c r="A8" s="3">
        <v>6</v>
      </c>
      <c r="B8" s="3" t="s">
        <v>47</v>
      </c>
      <c r="C8" s="3" t="s">
        <v>48</v>
      </c>
      <c r="D8" s="4">
        <v>0.4</v>
      </c>
      <c r="E8" s="4">
        <v>0.45</v>
      </c>
      <c r="F8" s="4">
        <v>0.5</v>
      </c>
    </row>
    <row r="9" spans="1:6">
      <c r="A9" s="3">
        <v>7</v>
      </c>
      <c r="B9" s="3" t="s">
        <v>49</v>
      </c>
      <c r="C9" s="3" t="s">
        <v>50</v>
      </c>
      <c r="D9" s="4">
        <v>0.4</v>
      </c>
      <c r="E9" s="4">
        <v>0.4</v>
      </c>
      <c r="F9" s="4">
        <v>0.4</v>
      </c>
    </row>
    <row r="10" spans="1:6">
      <c r="A10" s="3">
        <v>8</v>
      </c>
      <c r="B10" s="3" t="s">
        <v>51</v>
      </c>
      <c r="C10" s="3" t="s">
        <v>52</v>
      </c>
      <c r="D10" s="4">
        <v>0.45</v>
      </c>
      <c r="E10" s="4">
        <v>0.4</v>
      </c>
      <c r="F10" s="4">
        <v>0.45</v>
      </c>
    </row>
    <row r="11" spans="1:6">
      <c r="A11" s="3">
        <v>9</v>
      </c>
      <c r="B11" s="3" t="s">
        <v>53</v>
      </c>
      <c r="C11" s="3" t="s">
        <v>54</v>
      </c>
      <c r="D11" s="4">
        <v>0.45</v>
      </c>
      <c r="E11" s="4">
        <v>0.4</v>
      </c>
      <c r="F11" s="4">
        <v>0.4</v>
      </c>
    </row>
    <row r="12" spans="1:6">
      <c r="A12" s="3">
        <v>10</v>
      </c>
      <c r="B12" s="3" t="s">
        <v>55</v>
      </c>
      <c r="C12" s="3" t="s">
        <v>56</v>
      </c>
      <c r="D12" s="4">
        <v>0.3</v>
      </c>
      <c r="E12" s="4">
        <v>0.5</v>
      </c>
      <c r="F12" s="4">
        <v>0.45</v>
      </c>
    </row>
    <row r="13" spans="1:6">
      <c r="A13" s="3">
        <v>11</v>
      </c>
      <c r="B13" s="3" t="s">
        <v>57</v>
      </c>
      <c r="C13" s="3" t="s">
        <v>58</v>
      </c>
      <c r="D13" s="4">
        <v>0.4</v>
      </c>
      <c r="E13" s="4">
        <v>0.45</v>
      </c>
      <c r="F13" s="4">
        <v>0.4</v>
      </c>
    </row>
    <row r="14" spans="1:6">
      <c r="A14" s="3">
        <v>12</v>
      </c>
      <c r="B14" s="3" t="s">
        <v>59</v>
      </c>
      <c r="C14" s="3" t="s">
        <v>60</v>
      </c>
      <c r="D14" s="4">
        <v>0.5</v>
      </c>
      <c r="E14" s="4">
        <v>0.5</v>
      </c>
      <c r="F14" s="4">
        <v>0.45</v>
      </c>
    </row>
    <row r="15" spans="1:6">
      <c r="A15" s="3">
        <v>13</v>
      </c>
      <c r="B15" s="3" t="s">
        <v>61</v>
      </c>
      <c r="C15" s="3" t="s">
        <v>62</v>
      </c>
      <c r="D15" s="4">
        <v>0.4</v>
      </c>
      <c r="E15" s="4">
        <v>0.4</v>
      </c>
      <c r="F15" s="4">
        <v>0.35</v>
      </c>
    </row>
    <row r="16" spans="1:6">
      <c r="A16" s="3">
        <v>14</v>
      </c>
      <c r="B16" s="3" t="s">
        <v>63</v>
      </c>
      <c r="C16" s="3" t="s">
        <v>64</v>
      </c>
      <c r="D16" s="4">
        <v>0.35</v>
      </c>
      <c r="E16" s="4">
        <v>0.4</v>
      </c>
      <c r="F16" s="4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activeCell="D4" sqref="D4"/>
    </sheetView>
  </sheetViews>
  <sheetFormatPr defaultRowHeight="15"/>
  <cols>
    <col min="1" max="1" width="8" customWidth="1"/>
    <col min="2" max="2" width="14" customWidth="1"/>
    <col min="3" max="3" width="24" customWidth="1"/>
    <col min="4" max="4" width="16" customWidth="1"/>
  </cols>
  <sheetData>
    <row r="1" spans="1:4">
      <c r="A1" s="7" t="s">
        <v>65</v>
      </c>
      <c r="B1" s="7"/>
      <c r="C1" s="7"/>
      <c r="D1" s="7"/>
    </row>
    <row r="2" spans="1:4">
      <c r="A2" s="5" t="s">
        <v>10</v>
      </c>
      <c r="B2" s="5" t="s">
        <v>11</v>
      </c>
      <c r="C2" s="5" t="s">
        <v>36</v>
      </c>
      <c r="D2" s="5" t="s">
        <v>66</v>
      </c>
    </row>
    <row r="3" spans="1:4">
      <c r="A3" s="3">
        <v>1</v>
      </c>
      <c r="B3" s="3" t="s">
        <v>37</v>
      </c>
      <c r="C3" s="3" t="s">
        <v>38</v>
      </c>
      <c r="D3" s="4">
        <v>0.5</v>
      </c>
    </row>
    <row r="4" spans="1:4">
      <c r="A4" s="3">
        <v>2</v>
      </c>
      <c r="B4" s="3" t="s">
        <v>39</v>
      </c>
      <c r="C4" s="3" t="s">
        <v>40</v>
      </c>
      <c r="D4" s="4">
        <v>1</v>
      </c>
    </row>
    <row r="5" spans="1:4">
      <c r="A5" s="3">
        <v>3</v>
      </c>
      <c r="B5" s="3" t="s">
        <v>41</v>
      </c>
      <c r="C5" s="3" t="s">
        <v>42</v>
      </c>
      <c r="D5" s="4">
        <v>0.5</v>
      </c>
    </row>
    <row r="6" spans="1:4">
      <c r="A6" s="3">
        <v>4</v>
      </c>
      <c r="B6" s="3" t="s">
        <v>43</v>
      </c>
      <c r="C6" s="3" t="s">
        <v>44</v>
      </c>
      <c r="D6" s="4">
        <v>1</v>
      </c>
    </row>
    <row r="7" spans="1:4">
      <c r="A7" s="3">
        <v>5</v>
      </c>
      <c r="B7" s="3" t="s">
        <v>45</v>
      </c>
      <c r="C7" s="3" t="s">
        <v>46</v>
      </c>
      <c r="D7" s="4">
        <v>0.75</v>
      </c>
    </row>
    <row r="8" spans="1:4">
      <c r="A8" s="3">
        <v>6</v>
      </c>
      <c r="B8" s="3" t="s">
        <v>47</v>
      </c>
      <c r="C8" s="3" t="s">
        <v>48</v>
      </c>
      <c r="D8" s="4">
        <v>1.2</v>
      </c>
    </row>
    <row r="9" spans="1:4">
      <c r="A9" s="3">
        <v>7</v>
      </c>
      <c r="B9" s="3" t="s">
        <v>49</v>
      </c>
      <c r="C9" s="3" t="s">
        <v>50</v>
      </c>
      <c r="D9" s="4">
        <v>1</v>
      </c>
    </row>
    <row r="10" spans="1:4">
      <c r="A10" s="3">
        <v>8</v>
      </c>
      <c r="B10" s="3" t="s">
        <v>51</v>
      </c>
      <c r="C10" s="3" t="s">
        <v>52</v>
      </c>
      <c r="D10" s="4">
        <v>0</v>
      </c>
    </row>
    <row r="11" spans="1:4">
      <c r="A11" s="3">
        <v>9</v>
      </c>
      <c r="B11" s="3" t="s">
        <v>53</v>
      </c>
      <c r="C11" s="3" t="s">
        <v>54</v>
      </c>
      <c r="D11" s="4">
        <v>0.75</v>
      </c>
    </row>
    <row r="12" spans="1:4">
      <c r="A12" s="3">
        <v>10</v>
      </c>
      <c r="B12" s="3" t="s">
        <v>55</v>
      </c>
      <c r="C12" s="3" t="s">
        <v>56</v>
      </c>
      <c r="D12" s="4">
        <v>0.3</v>
      </c>
    </row>
    <row r="13" spans="1:4">
      <c r="A13" s="3">
        <v>11</v>
      </c>
      <c r="B13" s="3" t="s">
        <v>57</v>
      </c>
      <c r="C13" s="3" t="s">
        <v>58</v>
      </c>
      <c r="D13" s="4">
        <v>0.3</v>
      </c>
    </row>
    <row r="14" spans="1:4">
      <c r="A14" s="3">
        <v>12</v>
      </c>
      <c r="B14" s="3" t="s">
        <v>59</v>
      </c>
      <c r="C14" s="3" t="s">
        <v>60</v>
      </c>
      <c r="D14" s="4">
        <v>1.5</v>
      </c>
    </row>
    <row r="15" spans="1:4">
      <c r="A15" s="3">
        <v>13</v>
      </c>
      <c r="B15" s="3" t="s">
        <v>61</v>
      </c>
      <c r="C15" s="3" t="s">
        <v>62</v>
      </c>
      <c r="D15" s="4">
        <v>1.35</v>
      </c>
    </row>
    <row r="16" spans="1:4">
      <c r="A16" s="3">
        <v>14</v>
      </c>
      <c r="B16" s="3" t="s">
        <v>63</v>
      </c>
      <c r="C16" s="3" t="s">
        <v>64</v>
      </c>
      <c r="D16" s="4">
        <v>0.85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tabSelected="1" workbookViewId="0"/>
  </sheetViews>
  <sheetFormatPr defaultRowHeight="15"/>
  <cols>
    <col min="1" max="1" width="8" customWidth="1"/>
    <col min="2" max="2" width="14" customWidth="1"/>
    <col min="3" max="3" width="24" customWidth="1"/>
    <col min="4" max="4" width="16" customWidth="1"/>
  </cols>
  <sheetData>
    <row r="1" spans="1:4">
      <c r="A1" s="7" t="s">
        <v>67</v>
      </c>
      <c r="B1" s="7"/>
      <c r="C1" s="7"/>
      <c r="D1" s="7"/>
    </row>
    <row r="2" spans="1:4">
      <c r="A2" s="5" t="s">
        <v>10</v>
      </c>
      <c r="B2" s="5" t="s">
        <v>11</v>
      </c>
      <c r="C2" s="5" t="s">
        <v>12</v>
      </c>
      <c r="D2" s="5" t="s">
        <v>67</v>
      </c>
    </row>
    <row r="3" spans="1:4">
      <c r="A3" s="3">
        <v>1</v>
      </c>
      <c r="B3" s="3" t="s">
        <v>37</v>
      </c>
      <c r="C3" s="3" t="s">
        <v>68</v>
      </c>
      <c r="D3" s="4">
        <v>4.2</v>
      </c>
    </row>
    <row r="4" spans="1:4">
      <c r="A4" s="3">
        <v>2</v>
      </c>
      <c r="B4" s="3" t="s">
        <v>39</v>
      </c>
      <c r="C4" s="3" t="s">
        <v>40</v>
      </c>
      <c r="D4" s="4">
        <v>5.8</v>
      </c>
    </row>
    <row r="5" spans="1:4">
      <c r="A5" s="3">
        <v>3</v>
      </c>
      <c r="B5" s="3" t="s">
        <v>41</v>
      </c>
      <c r="C5" s="3" t="s">
        <v>42</v>
      </c>
      <c r="D5" s="4">
        <v>5.8</v>
      </c>
    </row>
    <row r="6" spans="1:4">
      <c r="A6" s="3">
        <v>4</v>
      </c>
      <c r="B6" s="3" t="s">
        <v>43</v>
      </c>
      <c r="C6" s="3" t="s">
        <v>44</v>
      </c>
      <c r="D6" s="4">
        <v>4.5</v>
      </c>
    </row>
    <row r="7" spans="1:4">
      <c r="A7" s="3">
        <v>5</v>
      </c>
      <c r="B7" s="3" t="s">
        <v>45</v>
      </c>
      <c r="C7" s="3" t="s">
        <v>46</v>
      </c>
      <c r="D7" s="4">
        <v>5.5</v>
      </c>
    </row>
    <row r="8" spans="1:4">
      <c r="A8" s="3">
        <v>6</v>
      </c>
      <c r="B8" s="3" t="s">
        <v>47</v>
      </c>
      <c r="C8" s="3" t="s">
        <v>48</v>
      </c>
      <c r="D8" s="4">
        <v>7.5</v>
      </c>
    </row>
    <row r="9" spans="1:4">
      <c r="A9" s="3">
        <v>7</v>
      </c>
      <c r="B9" s="3" t="s">
        <v>49</v>
      </c>
      <c r="C9" s="3" t="s">
        <v>50</v>
      </c>
      <c r="D9" s="4">
        <v>5.3</v>
      </c>
    </row>
    <row r="10" spans="1:4">
      <c r="A10" s="3">
        <v>8</v>
      </c>
      <c r="B10" s="3" t="s">
        <v>51</v>
      </c>
      <c r="C10" s="3" t="s">
        <v>52</v>
      </c>
      <c r="D10" s="4">
        <v>6.8</v>
      </c>
    </row>
    <row r="11" spans="1:4">
      <c r="A11" s="3">
        <v>9</v>
      </c>
      <c r="B11" s="3" t="s">
        <v>53</v>
      </c>
      <c r="C11" s="3" t="s">
        <v>54</v>
      </c>
      <c r="D11" s="4">
        <v>6.3</v>
      </c>
    </row>
    <row r="12" spans="1:4">
      <c r="A12" s="3">
        <v>10</v>
      </c>
      <c r="B12" s="3" t="s">
        <v>55</v>
      </c>
      <c r="C12" s="3" t="s">
        <v>56</v>
      </c>
      <c r="D12" s="4">
        <v>8.3000000000000007</v>
      </c>
    </row>
    <row r="13" spans="1:4">
      <c r="A13" s="3">
        <v>11</v>
      </c>
      <c r="B13" s="3" t="s">
        <v>57</v>
      </c>
      <c r="C13" s="3" t="s">
        <v>58</v>
      </c>
      <c r="D13" s="4">
        <v>-3</v>
      </c>
    </row>
    <row r="14" spans="1:4">
      <c r="A14" s="3">
        <v>12</v>
      </c>
      <c r="B14" s="3" t="s">
        <v>59</v>
      </c>
      <c r="C14" s="3" t="s">
        <v>60</v>
      </c>
      <c r="D14" s="4">
        <v>7</v>
      </c>
    </row>
    <row r="15" spans="1:4">
      <c r="A15" s="3">
        <v>13</v>
      </c>
      <c r="B15" s="3" t="s">
        <v>61</v>
      </c>
      <c r="C15" s="3" t="s">
        <v>62</v>
      </c>
      <c r="D15" s="4">
        <v>-3</v>
      </c>
    </row>
    <row r="16" spans="1:4">
      <c r="A16" s="3">
        <v>14</v>
      </c>
      <c r="B16" s="3" t="s">
        <v>63</v>
      </c>
      <c r="C16" s="3" t="s">
        <v>64</v>
      </c>
      <c r="D16" s="4">
        <v>6.5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7"/>
  <sheetViews>
    <sheetView workbookViewId="0"/>
  </sheetViews>
  <sheetFormatPr defaultRowHeight="15"/>
  <cols>
    <col min="1" max="1" width="24" customWidth="1"/>
    <col min="2" max="2" width="14" customWidth="1"/>
    <col min="3" max="3" width="22" customWidth="1"/>
    <col min="4" max="4" width="4" customWidth="1"/>
    <col min="5" max="5" width="28" customWidth="1"/>
    <col min="6" max="6" width="18" customWidth="1"/>
  </cols>
  <sheetData>
    <row r="1" spans="1:6">
      <c r="A1" s="7" t="s">
        <v>69</v>
      </c>
      <c r="B1" s="7"/>
      <c r="C1" s="7"/>
      <c r="D1" s="1"/>
      <c r="E1" s="7" t="s">
        <v>70</v>
      </c>
      <c r="F1" s="7"/>
    </row>
    <row r="2" spans="1:6">
      <c r="A2" s="1" t="s">
        <v>19</v>
      </c>
      <c r="B2" s="1" t="s">
        <v>20</v>
      </c>
      <c r="C2" s="1" t="s">
        <v>71</v>
      </c>
      <c r="D2" s="1"/>
      <c r="E2" s="1" t="s">
        <v>72</v>
      </c>
      <c r="F2" s="1" t="s">
        <v>73</v>
      </c>
    </row>
    <row r="3" spans="1:6">
      <c r="A3" s="3">
        <v>0</v>
      </c>
      <c r="B3" s="3" t="s">
        <v>74</v>
      </c>
      <c r="C3" s="4">
        <v>0</v>
      </c>
      <c r="D3" s="3"/>
      <c r="E3" s="4">
        <v>0</v>
      </c>
      <c r="F3" s="4">
        <v>1</v>
      </c>
    </row>
    <row r="4" spans="1:6">
      <c r="A4" s="3">
        <v>4</v>
      </c>
      <c r="B4" s="3" t="s">
        <v>75</v>
      </c>
      <c r="C4" s="4">
        <v>1</v>
      </c>
      <c r="D4" s="3"/>
      <c r="E4" s="4">
        <v>1</v>
      </c>
      <c r="F4" s="4">
        <v>0.5</v>
      </c>
    </row>
    <row r="5" spans="1:6">
      <c r="A5" s="3">
        <v>5</v>
      </c>
      <c r="B5" s="3" t="s">
        <v>76</v>
      </c>
      <c r="C5" s="4">
        <v>1.5</v>
      </c>
      <c r="D5" s="3"/>
      <c r="E5" s="4">
        <v>2</v>
      </c>
      <c r="F5" s="4">
        <v>0.25</v>
      </c>
    </row>
    <row r="6" spans="1:6">
      <c r="A6" s="3">
        <v>5.5</v>
      </c>
      <c r="B6" s="3" t="s">
        <v>77</v>
      </c>
      <c r="C6" s="4">
        <v>2</v>
      </c>
      <c r="D6" s="3"/>
      <c r="E6" s="3"/>
      <c r="F6" s="3"/>
    </row>
    <row r="7" spans="1:6">
      <c r="A7" s="3">
        <v>6.5</v>
      </c>
      <c r="B7" s="3" t="s">
        <v>78</v>
      </c>
      <c r="C7" s="4">
        <v>2.5</v>
      </c>
      <c r="D7" s="3"/>
      <c r="E7" s="3"/>
      <c r="F7" s="3"/>
    </row>
    <row r="8" spans="1:6">
      <c r="A8" s="3">
        <v>7</v>
      </c>
      <c r="B8" s="3" t="s">
        <v>79</v>
      </c>
      <c r="C8" s="4">
        <v>3</v>
      </c>
      <c r="D8" s="3"/>
      <c r="E8" s="3"/>
      <c r="F8" s="3"/>
    </row>
    <row r="9" spans="1:6">
      <c r="A9" s="3">
        <v>8</v>
      </c>
      <c r="B9" s="3" t="s">
        <v>80</v>
      </c>
      <c r="C9" s="4">
        <v>3.5</v>
      </c>
      <c r="D9" s="3"/>
      <c r="E9" s="3"/>
      <c r="F9" s="3"/>
    </row>
    <row r="10" spans="1:6">
      <c r="A10" s="3">
        <v>9</v>
      </c>
      <c r="B10" s="3" t="s">
        <v>81</v>
      </c>
      <c r="C10" s="4">
        <v>4</v>
      </c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17" t="s">
        <v>82</v>
      </c>
      <c r="B12" s="17"/>
      <c r="C12" s="17"/>
      <c r="D12" s="3"/>
      <c r="E12" s="17" t="s">
        <v>83</v>
      </c>
      <c r="F12" s="17"/>
    </row>
    <row r="13" spans="1:6">
      <c r="A13" s="6" t="s">
        <v>10</v>
      </c>
      <c r="B13" s="6" t="s">
        <v>11</v>
      </c>
      <c r="C13" s="6" t="s">
        <v>12</v>
      </c>
      <c r="D13" s="3"/>
      <c r="E13" s="6" t="s">
        <v>20</v>
      </c>
      <c r="F13" s="6" t="s">
        <v>84</v>
      </c>
    </row>
    <row r="14" spans="1:6">
      <c r="A14" s="3">
        <v>1</v>
      </c>
      <c r="B14" s="3" t="s">
        <v>37</v>
      </c>
      <c r="C14" s="3" t="s">
        <v>38</v>
      </c>
      <c r="D14" s="3"/>
      <c r="E14" s="3" t="s">
        <v>81</v>
      </c>
      <c r="F14" s="3">
        <f>COUNTIF('Tổng hợp điểm'!$K$7:$K$20,E14)</f>
        <v>0</v>
      </c>
    </row>
    <row r="15" spans="1:6">
      <c r="A15" s="3">
        <v>2</v>
      </c>
      <c r="B15" s="3" t="s">
        <v>39</v>
      </c>
      <c r="C15" s="3" t="s">
        <v>40</v>
      </c>
      <c r="D15" s="3"/>
      <c r="E15" s="3" t="s">
        <v>80</v>
      </c>
      <c r="F15" s="3">
        <f>COUNTIF('Tổng hợp điểm'!$K$7:$K$20,E15)</f>
        <v>1</v>
      </c>
    </row>
    <row r="16" spans="1:6">
      <c r="A16" s="3">
        <v>3</v>
      </c>
      <c r="B16" s="3" t="s">
        <v>41</v>
      </c>
      <c r="C16" s="3" t="s">
        <v>42</v>
      </c>
      <c r="D16" s="3"/>
      <c r="E16" s="3" t="s">
        <v>79</v>
      </c>
      <c r="F16" s="3">
        <f>COUNTIF('Tổng hợp điểm'!$K$7:$K$20,E16)</f>
        <v>2</v>
      </c>
    </row>
    <row r="17" spans="1:6">
      <c r="A17" s="3">
        <v>4</v>
      </c>
      <c r="B17" s="3" t="s">
        <v>43</v>
      </c>
      <c r="C17" s="3" t="s">
        <v>44</v>
      </c>
      <c r="D17" s="3"/>
      <c r="E17" s="3" t="s">
        <v>78</v>
      </c>
      <c r="F17" s="3">
        <f>COUNTIF('Tổng hợp điểm'!$K$7:$K$20,E17)</f>
        <v>2</v>
      </c>
    </row>
    <row r="18" spans="1:6">
      <c r="A18" s="3">
        <v>5</v>
      </c>
      <c r="B18" s="3" t="s">
        <v>45</v>
      </c>
      <c r="C18" s="3" t="s">
        <v>46</v>
      </c>
      <c r="D18" s="3"/>
      <c r="E18" s="3" t="s">
        <v>77</v>
      </c>
      <c r="F18" s="3">
        <f>COUNTIF('Tổng hợp điểm'!$K$7:$K$20,E18)</f>
        <v>5</v>
      </c>
    </row>
    <row r="19" spans="1:6">
      <c r="A19" s="3">
        <v>6</v>
      </c>
      <c r="B19" s="3" t="s">
        <v>47</v>
      </c>
      <c r="C19" s="3" t="s">
        <v>48</v>
      </c>
      <c r="D19" s="3"/>
      <c r="E19" s="3" t="s">
        <v>76</v>
      </c>
      <c r="F19" s="3">
        <f>COUNTIF('Tổng hợp điểm'!$K$7:$K$20,E19)</f>
        <v>1</v>
      </c>
    </row>
    <row r="20" spans="1:6">
      <c r="A20" s="3">
        <v>7</v>
      </c>
      <c r="B20" s="3" t="s">
        <v>49</v>
      </c>
      <c r="C20" s="3" t="s">
        <v>50</v>
      </c>
      <c r="D20" s="3"/>
      <c r="E20" s="3" t="s">
        <v>75</v>
      </c>
      <c r="F20" s="3">
        <f>COUNTIF('Tổng hợp điểm'!$K$7:$K$20,E20)</f>
        <v>0</v>
      </c>
    </row>
    <row r="21" spans="1:6">
      <c r="A21" s="3">
        <v>8</v>
      </c>
      <c r="B21" s="3" t="s">
        <v>51</v>
      </c>
      <c r="C21" s="3" t="s">
        <v>52</v>
      </c>
      <c r="D21" s="3"/>
      <c r="E21" s="3" t="s">
        <v>74</v>
      </c>
      <c r="F21" s="3">
        <f>COUNTIF('Tổng hợp điểm'!$K$7:$K$20,E21)</f>
        <v>3</v>
      </c>
    </row>
    <row r="22" spans="1:6">
      <c r="A22" s="3">
        <v>9</v>
      </c>
      <c r="B22" s="3" t="s">
        <v>53</v>
      </c>
      <c r="C22" s="3" t="s">
        <v>54</v>
      </c>
      <c r="D22" s="3"/>
      <c r="E22" s="3"/>
      <c r="F22" s="3"/>
    </row>
    <row r="23" spans="1:6">
      <c r="A23" s="3">
        <v>10</v>
      </c>
      <c r="B23" s="3" t="s">
        <v>55</v>
      </c>
      <c r="C23" s="3" t="s">
        <v>56</v>
      </c>
      <c r="D23" s="3"/>
      <c r="E23" s="17" t="s">
        <v>85</v>
      </c>
      <c r="F23" s="17"/>
    </row>
    <row r="24" spans="1:6">
      <c r="A24" s="3">
        <v>11</v>
      </c>
      <c r="B24" s="3" t="s">
        <v>57</v>
      </c>
      <c r="C24" s="3" t="s">
        <v>58</v>
      </c>
      <c r="D24" s="3"/>
      <c r="E24" s="3" t="s">
        <v>86</v>
      </c>
      <c r="F24" s="3">
        <f>COUNTIF('Tổng hợp điểm'!$G$7:$G$20,0)+COUNTIF('Tổng hợp điểm'!$H$7:$H$20,-3)-COUNTIFS('Tổng hợp điểm'!$G$7:$G$20,0,'Tổng hợp điểm'!$H$7:$H$20,-3)</f>
        <v>3</v>
      </c>
    </row>
    <row r="25" spans="1:6">
      <c r="A25" s="3">
        <v>12</v>
      </c>
      <c r="B25" s="3" t="s">
        <v>59</v>
      </c>
      <c r="C25" s="3" t="s">
        <v>60</v>
      </c>
      <c r="D25" s="3"/>
      <c r="E25" s="3" t="s">
        <v>87</v>
      </c>
      <c r="F25" s="3">
        <f>COUNTIFS('Tổng hợp điểm'!$J$7:$J$20,"&gt;=7",'Tổng hợp điểm'!$K$7:$K$20,"B+")+COUNTIFS('Tổng hợp điểm'!$J$7:$J$20,"&gt;=7",'Tổng hợp điểm'!$K$7:$K$20,"A")</f>
        <v>1</v>
      </c>
    </row>
    <row r="26" spans="1:6">
      <c r="A26" s="3">
        <v>13</v>
      </c>
      <c r="B26" s="3" t="s">
        <v>61</v>
      </c>
      <c r="C26" s="3" t="s">
        <v>62</v>
      </c>
      <c r="D26" s="3"/>
      <c r="E26" s="3"/>
      <c r="F26" s="3"/>
    </row>
    <row r="27" spans="1:6">
      <c r="A27" s="3">
        <v>14</v>
      </c>
      <c r="B27" s="3" t="s">
        <v>63</v>
      </c>
      <c r="C27" s="3" t="s">
        <v>64</v>
      </c>
      <c r="D27" s="3"/>
      <c r="E27" s="3"/>
      <c r="F27" s="3"/>
    </row>
  </sheetData>
  <mergeCells count="5">
    <mergeCell ref="E12:F12"/>
    <mergeCell ref="A1:C1"/>
    <mergeCell ref="E1:F1"/>
    <mergeCell ref="E23:F23"/>
    <mergeCell ref="A12:C12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"/>
  <sheetViews>
    <sheetView workbookViewId="0"/>
  </sheetViews>
  <sheetFormatPr defaultRowHeight="15"/>
  <cols>
    <col min="1" max="1" width="8" customWidth="1"/>
    <col min="2" max="2" width="14" customWidth="1"/>
    <col min="3" max="3" width="24" customWidth="1"/>
    <col min="4" max="9" width="12" customWidth="1"/>
    <col min="10" max="10" width="20" customWidth="1"/>
    <col min="11" max="11" width="12" customWidth="1"/>
  </cols>
  <sheetData>
    <row r="1" spans="1:1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>
      <c r="A2" s="1"/>
      <c r="B2" s="1" t="s">
        <v>21</v>
      </c>
      <c r="C2" s="1" t="s">
        <v>38</v>
      </c>
      <c r="D2" s="2">
        <v>0.45</v>
      </c>
      <c r="E2" s="2">
        <v>0.25</v>
      </c>
      <c r="F2" s="2">
        <v>0.3</v>
      </c>
      <c r="G2" s="2">
        <v>0.5</v>
      </c>
      <c r="H2" s="2">
        <v>4.2</v>
      </c>
      <c r="I2" s="2">
        <v>4</v>
      </c>
      <c r="J2" s="2">
        <v>5</v>
      </c>
      <c r="K2" s="1" t="s">
        <v>76</v>
      </c>
    </row>
    <row r="3" spans="1:11">
      <c r="A3" s="3"/>
      <c r="B3" s="3" t="s">
        <v>22</v>
      </c>
      <c r="C3" s="3" t="s">
        <v>40</v>
      </c>
      <c r="D3" s="4">
        <v>0.5</v>
      </c>
      <c r="E3" s="4">
        <v>0.35</v>
      </c>
      <c r="F3" s="4">
        <v>0.4</v>
      </c>
      <c r="G3" s="4">
        <v>1</v>
      </c>
      <c r="H3" s="4">
        <v>5.8</v>
      </c>
      <c r="I3" s="4">
        <v>5.7</v>
      </c>
      <c r="J3" s="4">
        <v>6.2</v>
      </c>
      <c r="K3" s="3" t="s">
        <v>77</v>
      </c>
    </row>
    <row r="4" spans="1:11">
      <c r="A4" s="3"/>
      <c r="B4" s="3" t="s">
        <v>23</v>
      </c>
      <c r="C4" s="3" t="s">
        <v>42</v>
      </c>
      <c r="D4" s="4">
        <v>0.25</v>
      </c>
      <c r="E4" s="4">
        <v>0.25</v>
      </c>
      <c r="F4" s="4">
        <v>0.3</v>
      </c>
      <c r="G4" s="4">
        <v>0.5</v>
      </c>
      <c r="H4" s="4">
        <v>5.8</v>
      </c>
      <c r="I4" s="4">
        <v>4.8</v>
      </c>
      <c r="J4" s="4">
        <v>5.8</v>
      </c>
      <c r="K4" s="3" t="s">
        <v>77</v>
      </c>
    </row>
    <row r="5" spans="1:11">
      <c r="A5" s="3"/>
      <c r="B5" s="3" t="s">
        <v>24</v>
      </c>
      <c r="C5" s="3" t="s">
        <v>44</v>
      </c>
      <c r="D5" s="4">
        <v>0.4</v>
      </c>
      <c r="E5" s="4">
        <v>0.25</v>
      </c>
      <c r="F5" s="4">
        <v>0.35</v>
      </c>
      <c r="G5" s="4">
        <v>1</v>
      </c>
      <c r="H5" s="4">
        <v>4.5</v>
      </c>
      <c r="I5" s="4">
        <v>4.7</v>
      </c>
      <c r="J5" s="4">
        <v>5.7</v>
      </c>
      <c r="K5" s="3" t="s">
        <v>77</v>
      </c>
    </row>
    <row r="6" spans="1:11">
      <c r="A6" s="3"/>
      <c r="B6" s="3" t="s">
        <v>25</v>
      </c>
      <c r="C6" s="3" t="s">
        <v>46</v>
      </c>
      <c r="D6" s="4">
        <v>0.45</v>
      </c>
      <c r="E6" s="4">
        <v>0.4</v>
      </c>
      <c r="F6" s="4">
        <v>0.35</v>
      </c>
      <c r="G6" s="4">
        <v>0.75</v>
      </c>
      <c r="H6" s="4">
        <v>5.5</v>
      </c>
      <c r="I6" s="4">
        <v>5.2</v>
      </c>
      <c r="J6" s="4">
        <v>5.5</v>
      </c>
      <c r="K6" s="3" t="s">
        <v>77</v>
      </c>
    </row>
    <row r="7" spans="1:11">
      <c r="A7" s="3"/>
      <c r="B7" s="3" t="s">
        <v>27</v>
      </c>
      <c r="C7" s="3" t="s">
        <v>50</v>
      </c>
      <c r="D7" s="4">
        <v>0.4</v>
      </c>
      <c r="E7" s="4">
        <v>0.4</v>
      </c>
      <c r="F7" s="4">
        <v>0.4</v>
      </c>
      <c r="G7" s="4">
        <v>1</v>
      </c>
      <c r="H7" s="4">
        <v>5.3</v>
      </c>
      <c r="I7" s="4">
        <v>5.4</v>
      </c>
      <c r="J7" s="4">
        <v>6.4</v>
      </c>
      <c r="K7" s="3" t="s">
        <v>77</v>
      </c>
    </row>
    <row r="8" spans="1:11">
      <c r="A8" s="3"/>
      <c r="B8" s="3" t="s">
        <v>28</v>
      </c>
      <c r="C8" s="3" t="s">
        <v>52</v>
      </c>
      <c r="D8" s="4">
        <v>0.45</v>
      </c>
      <c r="E8" s="4">
        <v>0.4</v>
      </c>
      <c r="F8" s="4">
        <v>0.45</v>
      </c>
      <c r="G8" s="4">
        <v>0</v>
      </c>
      <c r="H8" s="4">
        <v>6.8</v>
      </c>
      <c r="I8" s="4">
        <v>5.4</v>
      </c>
      <c r="J8" s="4">
        <v>0</v>
      </c>
      <c r="K8" s="3" t="s">
        <v>74</v>
      </c>
    </row>
    <row r="9" spans="1:11">
      <c r="A9" s="3"/>
      <c r="B9" s="3" t="s">
        <v>29</v>
      </c>
      <c r="C9" s="3" t="s">
        <v>54</v>
      </c>
      <c r="D9" s="4">
        <v>0.45</v>
      </c>
      <c r="E9" s="4">
        <v>0.4</v>
      </c>
      <c r="F9" s="4">
        <v>0.4</v>
      </c>
      <c r="G9" s="4">
        <v>0.75</v>
      </c>
      <c r="H9" s="4">
        <v>6.3</v>
      </c>
      <c r="I9" s="4">
        <v>5.8</v>
      </c>
      <c r="J9" s="4">
        <v>6.8</v>
      </c>
      <c r="K9" s="3" t="s">
        <v>78</v>
      </c>
    </row>
    <row r="10" spans="1:11">
      <c r="A10" s="3"/>
      <c r="B10" s="3" t="s">
        <v>31</v>
      </c>
      <c r="C10" s="3" t="s">
        <v>58</v>
      </c>
      <c r="D10" s="4">
        <v>0.4</v>
      </c>
      <c r="E10" s="4">
        <v>0.45</v>
      </c>
      <c r="F10" s="4">
        <v>0.4</v>
      </c>
      <c r="G10" s="4">
        <v>0.3</v>
      </c>
      <c r="H10" s="4">
        <v>-3</v>
      </c>
      <c r="I10" s="4">
        <v>0</v>
      </c>
      <c r="J10" s="4">
        <v>0</v>
      </c>
      <c r="K10" s="3" t="s">
        <v>74</v>
      </c>
    </row>
    <row r="11" spans="1:11">
      <c r="A11" s="3"/>
      <c r="B11" s="3" t="s">
        <v>33</v>
      </c>
      <c r="C11" s="3" t="s">
        <v>62</v>
      </c>
      <c r="D11" s="4">
        <v>0.4</v>
      </c>
      <c r="E11" s="4">
        <v>0.4</v>
      </c>
      <c r="F11" s="4">
        <v>0.35</v>
      </c>
      <c r="G11" s="4">
        <v>1.35</v>
      </c>
      <c r="H11" s="4">
        <v>-3</v>
      </c>
      <c r="I11" s="4">
        <v>0</v>
      </c>
      <c r="J11" s="4">
        <v>0</v>
      </c>
      <c r="K11" s="3" t="s">
        <v>74</v>
      </c>
    </row>
    <row r="12" spans="1:11">
      <c r="A12" s="3"/>
      <c r="B12" s="3" t="s">
        <v>34</v>
      </c>
      <c r="C12" s="3" t="s">
        <v>64</v>
      </c>
      <c r="D12" s="4">
        <v>0.35</v>
      </c>
      <c r="E12" s="4">
        <v>0.4</v>
      </c>
      <c r="F12" s="4">
        <v>0</v>
      </c>
      <c r="G12" s="4">
        <v>0.85</v>
      </c>
      <c r="H12" s="4">
        <v>6.5</v>
      </c>
      <c r="I12" s="4">
        <v>5.5</v>
      </c>
      <c r="J12" s="4">
        <v>6.5</v>
      </c>
      <c r="K12" s="3" t="s">
        <v>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"/>
  <sheetViews>
    <sheetView workbookViewId="0">
      <selection activeCell="F4" sqref="F4"/>
    </sheetView>
  </sheetViews>
  <sheetFormatPr defaultRowHeight="15"/>
  <cols>
    <col min="1" max="1" width="8" customWidth="1"/>
    <col min="2" max="2" width="14" customWidth="1"/>
    <col min="3" max="3" width="24" customWidth="1"/>
    <col min="4" max="9" width="12" customWidth="1"/>
    <col min="10" max="10" width="20" customWidth="1"/>
    <col min="11" max="11" width="12" customWidth="1"/>
  </cols>
  <sheetData>
    <row r="1" spans="1:1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>
      <c r="A2" s="1"/>
      <c r="B2" s="1" t="s">
        <v>26</v>
      </c>
      <c r="C2" s="1" t="s">
        <v>48</v>
      </c>
      <c r="D2" s="2">
        <v>0.4</v>
      </c>
      <c r="E2" s="2">
        <v>0.45</v>
      </c>
      <c r="F2" s="2">
        <v>0.5</v>
      </c>
      <c r="G2" s="2">
        <v>1.2</v>
      </c>
      <c r="H2" s="2">
        <v>7.5</v>
      </c>
      <c r="I2" s="2">
        <v>7</v>
      </c>
      <c r="J2" s="2">
        <v>8</v>
      </c>
      <c r="K2" s="1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2026-10-02T01:11:46Z</dcterms:created>
  <dcterms:modified xsi:type="dcterms:W3CDTF">2026-10-02T15:59:58Z</dcterms:modified>
  <cp:category/>
  <cp:contentStatus/>
</cp:coreProperties>
</file>